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Setup" sheetId="1" state="visible" r:id="rId1"/>
    <sheet name="Settings" sheetId="2" state="visible" r:id="rId2"/>
    <sheet name="Route_Sales" sheetId="3" state="visible" r:id="rId3"/>
    <sheet name="Store_Payments" sheetId="4" state="visible" r:id="rId4"/>
    <sheet name="Store_Balances" sheetId="5" state="visible" r:id="rId5"/>
    <sheet name="Expenses" sheetId="6" state="visible" r:id="rId6"/>
    <sheet name="Inventory" sheetId="7" state="visible" r:id="rId7"/>
    <sheet name="Opening_Balances" sheetId="8" state="visible" r:id="rId8"/>
    <sheet name="Dashboard" sheetId="9" state="visible" r:id="rId9"/>
    <sheet name="Cash_Flow" sheetId="10" state="visible" r:id="rId10"/>
  </sheets>
  <definedNames>
    <definedName name="Routes">Settings!$A$2:$A$100</definedName>
    <definedName name="Stores">Settings!$C$2:$C$500</definedName>
    <definedName name="ExpenseCategories">Settings!$E$2:$E$100</definedName>
    <definedName name="SaleTypes">Settings!$G$2:$G$3</definedName>
    <definedName name="PaymentMethods">Settings!$H$2:$H$3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Google Sheets dropdown setup / ตั้งค่า dropdown</t>
        </is>
      </c>
    </row>
    <row r="2">
      <c r="A2" t="inlineStr"/>
    </row>
    <row r="3">
      <c r="A3" t="inlineStr">
        <is>
          <t>After importing this file into Google Sheets, click a Route or Store cell.</t>
        </is>
      </c>
    </row>
    <row r="4">
      <c r="A4" t="inlineStr">
        <is>
          <t>If you do NOT see a dropdown arrow, re-apply validation once per column:</t>
        </is>
      </c>
    </row>
    <row r="5">
      <c r="A5" t="inlineStr"/>
    </row>
    <row r="6">
      <c r="A6" t="inlineStr">
        <is>
          <t>Route_Sales</t>
        </is>
      </c>
    </row>
    <row r="7">
      <c r="A7" t="inlineStr">
        <is>
          <t xml:space="preserve">  Column B (Route):     Data → Data validation → Dropdown from a range → Routes</t>
        </is>
      </c>
    </row>
    <row r="8">
      <c r="A8" t="inlineStr">
        <is>
          <t xml:space="preserve">  Column C (Store):     … → Stores</t>
        </is>
      </c>
    </row>
    <row r="9">
      <c r="A9" t="inlineStr">
        <is>
          <t xml:space="preserve">  Column E (Sale type): … → SaleTypes</t>
        </is>
      </c>
    </row>
    <row r="10">
      <c r="A10" t="inlineStr"/>
    </row>
    <row r="11">
      <c r="A11" t="inlineStr">
        <is>
          <t>Store_Payments</t>
        </is>
      </c>
    </row>
    <row r="12">
      <c r="A12" t="inlineStr">
        <is>
          <t xml:space="preserve">  Column B (Store):     … → Stores</t>
        </is>
      </c>
    </row>
    <row r="13">
      <c r="A13" t="inlineStr">
        <is>
          <t xml:space="preserve">  Column D (Payment):   … → PaymentMethods</t>
        </is>
      </c>
    </row>
    <row r="14">
      <c r="A14" t="inlineStr"/>
    </row>
    <row r="15">
      <c r="A15" t="inlineStr">
        <is>
          <t>Expenses</t>
        </is>
      </c>
    </row>
    <row r="16">
      <c r="A16" t="inlineStr">
        <is>
          <t xml:space="preserve">  Column B (Category):  … → ExpenseCategories</t>
        </is>
      </c>
    </row>
    <row r="17">
      <c r="A17" t="inlineStr">
        <is>
          <t xml:space="preserve">  Column D (Payment):   … → PaymentMethods</t>
        </is>
      </c>
    </row>
    <row r="18">
      <c r="A18" t="inlineStr"/>
    </row>
    <row r="19">
      <c r="A19" t="inlineStr">
        <is>
          <t>Opening_Balances</t>
        </is>
      </c>
    </row>
    <row r="20">
      <c r="A20" t="inlineStr">
        <is>
          <t xml:space="preserve">  Column A (Store):     … → Stores   (rows 8–107)</t>
        </is>
      </c>
    </row>
    <row r="21">
      <c r="A21" t="inlineStr"/>
    </row>
    <row r="22">
      <c r="A22" t="inlineStr">
        <is>
          <t>Named ranges (Data → Named ranges) point at Settings lists.</t>
        </is>
      </c>
    </row>
    <row r="23">
      <c r="A23" t="inlineStr">
        <is>
          <t>Add new route/store names on Settings — dropdowns update automatically.</t>
        </is>
      </c>
    </row>
    <row r="24">
      <c r="A24" t="inlineStr"/>
    </row>
    <row r="25">
      <c r="A25" t="inlineStr">
        <is>
          <t>Or run Extensions → Apps Script → paste scripts/google-sheets-validation.gs</t>
        </is>
      </c>
    </row>
    <row r="26">
      <c r="A26" t="inlineStr">
        <is>
          <t>then Run → applyLedgerValidations (one-time fix).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22" customWidth="1" min="3" max="3"/>
    <col width="4" customWidth="1" min="4" max="4"/>
    <col width="18" customWidth="1" min="5" max="5"/>
    <col width="14" customWidth="1" min="6" max="6"/>
    <col width="12" customWidth="1" min="7" max="7"/>
    <col width="14" customWidth="1" min="8" max="8"/>
  </cols>
  <sheetData>
    <row r="1">
      <c r="A1" s="2" t="inlineStr">
        <is>
          <t>Routes / เส้นทาง</t>
        </is>
      </c>
      <c r="B1" s="2" t="n"/>
      <c r="C1" s="2" t="inlineStr">
        <is>
          <t>Stores / ร้านค้า</t>
        </is>
      </c>
      <c r="D1" s="2" t="n"/>
      <c r="E1" s="2" t="inlineStr">
        <is>
          <t>Expense categories / หมวดค่าใช้จ่าย</t>
        </is>
      </c>
      <c r="F1" s="2" t="n"/>
      <c r="G1" s="2" t="inlineStr">
        <is>
          <t>Sale type / ประเภทการขาย</t>
        </is>
      </c>
      <c r="H1" s="2" t="inlineStr">
        <is>
          <t>Payment method / ช่องทางจ่าย</t>
        </is>
      </c>
    </row>
    <row r="2">
      <c r="A2" t="inlineStr">
        <is>
          <t>Route_01</t>
        </is>
      </c>
      <c r="C2" t="inlineStr">
        <is>
          <t>Store_01</t>
        </is>
      </c>
      <c r="E2" t="inlineStr">
        <is>
          <t>Water</t>
        </is>
      </c>
      <c r="F2" t="inlineStr">
        <is>
          <t>Production</t>
        </is>
      </c>
      <c r="G2" t="inlineStr">
        <is>
          <t>Cash</t>
        </is>
      </c>
      <c r="H2" t="inlineStr">
        <is>
          <t>Cash</t>
        </is>
      </c>
    </row>
    <row r="3">
      <c r="A3" t="inlineStr">
        <is>
          <t>Route_02</t>
        </is>
      </c>
      <c r="C3" t="inlineStr">
        <is>
          <t>Store_02</t>
        </is>
      </c>
      <c r="E3" t="inlineStr">
        <is>
          <t>Power</t>
        </is>
      </c>
      <c r="F3" t="inlineStr">
        <is>
          <t>Production</t>
        </is>
      </c>
      <c r="G3" t="inlineStr">
        <is>
          <t>Credit</t>
        </is>
      </c>
      <c r="H3" t="inlineStr">
        <is>
          <t>Bank</t>
        </is>
      </c>
    </row>
    <row r="4">
      <c r="A4" t="inlineStr">
        <is>
          <t>Route_03</t>
        </is>
      </c>
      <c r="C4" t="inlineStr">
        <is>
          <t>Store_03</t>
        </is>
      </c>
      <c r="E4" t="inlineStr">
        <is>
          <t>Bags</t>
        </is>
      </c>
      <c r="F4" t="inlineStr">
        <is>
          <t>Production</t>
        </is>
      </c>
    </row>
    <row r="5">
      <c r="A5" t="inlineStr">
        <is>
          <t>Route_04</t>
        </is>
      </c>
      <c r="C5" t="inlineStr">
        <is>
          <t>Store_04</t>
        </is>
      </c>
      <c r="E5" t="inlineStr">
        <is>
          <t>Machine repair</t>
        </is>
      </c>
      <c r="F5" t="inlineStr">
        <is>
          <t>Production</t>
        </is>
      </c>
    </row>
    <row r="6">
      <c r="A6" t="inlineStr">
        <is>
          <t>Route_05</t>
        </is>
      </c>
      <c r="C6" t="inlineStr">
        <is>
          <t>Store_05</t>
        </is>
      </c>
      <c r="E6" t="inlineStr">
        <is>
          <t>Fuel</t>
        </is>
      </c>
      <c r="F6" t="inlineStr">
        <is>
          <t>Distribution</t>
        </is>
      </c>
    </row>
    <row r="7">
      <c r="A7" t="inlineStr">
        <is>
          <t>Route_06</t>
        </is>
      </c>
      <c r="C7" t="inlineStr">
        <is>
          <t>Store_06</t>
        </is>
      </c>
      <c r="E7" t="inlineStr">
        <is>
          <t>Vehicle repair</t>
        </is>
      </c>
      <c r="F7" t="inlineStr">
        <is>
          <t>Distribution</t>
        </is>
      </c>
    </row>
    <row r="8">
      <c r="C8" t="inlineStr">
        <is>
          <t>Store_07</t>
        </is>
      </c>
      <c r="E8" t="inlineStr">
        <is>
          <t>Driver pay</t>
        </is>
      </c>
      <c r="F8" t="inlineStr">
        <is>
          <t>Distribution</t>
        </is>
      </c>
    </row>
    <row r="9">
      <c r="C9" t="inlineStr">
        <is>
          <t>Store_08</t>
        </is>
      </c>
      <c r="E9" t="inlineStr">
        <is>
          <t>Rent</t>
        </is>
      </c>
      <c r="F9" t="inlineStr">
        <is>
          <t>Overhead</t>
        </is>
      </c>
    </row>
    <row r="10">
      <c r="C10" t="inlineStr">
        <is>
          <t>Store_09</t>
        </is>
      </c>
      <c r="E10" t="inlineStr">
        <is>
          <t>Permits</t>
        </is>
      </c>
      <c r="F10" t="inlineStr">
        <is>
          <t>Overhead</t>
        </is>
      </c>
    </row>
    <row r="11">
      <c r="C11" t="inlineStr">
        <is>
          <t>Store_10</t>
        </is>
      </c>
      <c r="E11" t="inlineStr">
        <is>
          <t>Insurance</t>
        </is>
      </c>
      <c r="F11" t="inlineStr">
        <is>
          <t>Overhead</t>
        </is>
      </c>
    </row>
    <row r="12">
      <c r="E12" t="inlineStr">
        <is>
          <t>Other</t>
        </is>
      </c>
      <c r="F12" t="inlineStr">
        <is>
          <t>Overhead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8" customWidth="1" min="4" max="4"/>
    <col width="22" customWidth="1" min="5" max="5"/>
    <col width="14" customWidth="1" min="6" max="6"/>
    <col width="24" customWidth="1" min="7" max="7"/>
  </cols>
  <sheetData>
    <row r="1">
      <c r="A1" s="2" t="inlineStr">
        <is>
          <t>Date / วันที่</t>
        </is>
      </c>
      <c r="B1" s="2" t="inlineStr">
        <is>
          <t>Route / เส้นทาง</t>
        </is>
      </c>
      <c r="C1" s="2" t="inlineStr">
        <is>
          <t>Store / ร้าน</t>
        </is>
      </c>
      <c r="D1" s="2" t="inlineStr">
        <is>
          <t>Bags / ถุง</t>
        </is>
      </c>
      <c r="E1" s="2" t="inlineStr">
        <is>
          <t>Sale type / สดหรือค้างจ่าย</t>
        </is>
      </c>
      <c r="F1" s="2" t="inlineStr">
        <is>
          <t>Amount (฿) / จำนวนเงิน</t>
        </is>
      </c>
      <c r="G1" s="2" t="inlineStr">
        <is>
          <t>Notes / หมายเหตุ</t>
        </is>
      </c>
    </row>
    <row r="2">
      <c r="A2" t="inlineStr">
        <is>
          <t>2026-06-16</t>
        </is>
      </c>
      <c r="B2" t="inlineStr">
        <is>
          <t>Route_01</t>
        </is>
      </c>
      <c r="C2" t="inlineStr">
        <is>
          <t>Store_01</t>
        </is>
      </c>
      <c r="D2" t="n">
        <v>10</v>
      </c>
      <c r="E2" t="inlineStr">
        <is>
          <t>Cash</t>
        </is>
      </c>
      <c r="F2" t="n">
        <v>300</v>
      </c>
      <c r="G2" t="inlineStr"/>
    </row>
    <row r="3">
      <c r="A3" t="inlineStr">
        <is>
          <t>2026-06-16</t>
        </is>
      </c>
      <c r="B3" t="inlineStr">
        <is>
          <t>Route_01</t>
        </is>
      </c>
      <c r="C3" t="inlineStr">
        <is>
          <t>Store_02</t>
        </is>
      </c>
      <c r="D3" t="n">
        <v>8</v>
      </c>
      <c r="E3" t="inlineStr">
        <is>
          <t>Credit</t>
        </is>
      </c>
      <c r="F3" t="n">
        <v>240</v>
      </c>
      <c r="G3" t="inlineStr"/>
    </row>
  </sheetData>
  <dataValidations count="3">
    <dataValidation sqref="B2:B501" showDropDown="0" showInputMessage="0" showErrorMessage="0" allowBlank="1" errorTitle="Invalid value" error="Pick from the list" type="list">
      <formula1>=Routes</formula1>
    </dataValidation>
    <dataValidation sqref="C2:C501" showDropDown="0" showInputMessage="0" showErrorMessage="0" allowBlank="1" errorTitle="Invalid value" error="Pick from the list" type="list">
      <formula1>=Stores</formula1>
    </dataValidation>
    <dataValidation sqref="E2:E501" showDropDown="0" showInputMessage="0" showErrorMessage="0" allowBlank="1" errorTitle="Invalid value" error="Pick from the list" type="list">
      <formula1>=SaleTypes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24" customWidth="1" min="5" max="5"/>
  </cols>
  <sheetData>
    <row r="1">
      <c r="A1" s="2" t="inlineStr">
        <is>
          <t>Date / วันที่</t>
        </is>
      </c>
      <c r="B1" s="2" t="inlineStr">
        <is>
          <t>Store / ร้าน</t>
        </is>
      </c>
      <c r="C1" s="2" t="inlineStr">
        <is>
          <t>Amount paid (฿) / จำนวนที่จ่าย</t>
        </is>
      </c>
      <c r="D1" s="2" t="inlineStr">
        <is>
          <t>Payment method / ช่องทางจ่าย</t>
        </is>
      </c>
      <c r="E1" s="2" t="inlineStr">
        <is>
          <t>Notes / หมายเหตุ</t>
        </is>
      </c>
    </row>
    <row r="2">
      <c r="A2" t="inlineStr">
        <is>
          <t>2026-06-20</t>
        </is>
      </c>
      <c r="B2" t="inlineStr">
        <is>
          <t>Store_02</t>
        </is>
      </c>
      <c r="C2" t="n">
        <v>240</v>
      </c>
      <c r="D2" t="inlineStr">
        <is>
          <t>Cash</t>
        </is>
      </c>
      <c r="E2" t="inlineStr">
        <is>
          <t>Paid in full</t>
        </is>
      </c>
    </row>
  </sheetData>
  <dataValidations count="2">
    <dataValidation sqref="B2:B501" showDropDown="0" showInputMessage="0" showErrorMessage="0" allowBlank="1" errorTitle="Invalid value" error="Pick from the list" type="list">
      <formula1>=Stores</formula1>
    </dataValidation>
    <dataValidation sqref="D2:D501" showDropDown="0" showInputMessage="0" showErrorMessage="0" allowBlank="1" errorTitle="Invalid value" error="Pick from the list" type="list">
      <formula1>=PaymentMethods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Read-only / อ่านอย่างเดียว — who owes what / ลูกค้าค้างจ่าย</t>
        </is>
      </c>
    </row>
    <row r="2">
      <c r="A2" s="2" t="inlineStr">
        <is>
          <t>Store / ร้าน</t>
        </is>
      </c>
      <c r="B2" s="2" t="inlineStr">
        <is>
          <t>Opening debt (฿) / ยอดยกมา</t>
        </is>
      </c>
      <c r="C2" s="2" t="inlineStr">
        <is>
          <t>Credit sales (฿) / ขายเชื่อ</t>
        </is>
      </c>
      <c r="D2" s="2" t="inlineStr">
        <is>
          <t>Payments (฿) / รับชำระ</t>
        </is>
      </c>
      <c r="E2" s="2" t="inlineStr">
        <is>
          <t>Still owed (฿) / คงค้าง</t>
        </is>
      </c>
    </row>
    <row r="3">
      <c r="A3" t="inlineStr">
        <is>
          <t>Store_01</t>
        </is>
      </c>
      <c r="B3">
        <f>IFERROR(SUMIF(Opening_Balances!$A:$A,A3,Opening_Balances!$B:$B),0)</f>
        <v/>
      </c>
      <c r="C3">
        <f>SUMIFS(Route_Sales!$F:$F,Route_Sales!$C:$C,A3,Route_Sales!$E:$E,"Credit")</f>
        <v/>
      </c>
      <c r="D3">
        <f>SUMIF(Store_Payments!$B:$B,A3,Store_Payments!$C:$C)</f>
        <v/>
      </c>
      <c r="E3">
        <f>B3+C3-D3</f>
        <v/>
      </c>
    </row>
    <row r="4">
      <c r="A4" t="inlineStr">
        <is>
          <t>Store_02</t>
        </is>
      </c>
      <c r="B4">
        <f>IFERROR(SUMIF(Opening_Balances!$A:$A,A4,Opening_Balances!$B:$B),0)</f>
        <v/>
      </c>
      <c r="C4">
        <f>SUMIFS(Route_Sales!$F:$F,Route_Sales!$C:$C,A4,Route_Sales!$E:$E,"Credit")</f>
        <v/>
      </c>
      <c r="D4">
        <f>SUMIF(Store_Payments!$B:$B,A4,Store_Payments!$C:$C)</f>
        <v/>
      </c>
      <c r="E4">
        <f>B4+C4-D4</f>
        <v/>
      </c>
    </row>
    <row r="5">
      <c r="A5" t="inlineStr">
        <is>
          <t>Store_03</t>
        </is>
      </c>
      <c r="B5">
        <f>IFERROR(SUMIF(Opening_Balances!$A:$A,A5,Opening_Balances!$B:$B),0)</f>
        <v/>
      </c>
      <c r="C5">
        <f>SUMIFS(Route_Sales!$F:$F,Route_Sales!$C:$C,A5,Route_Sales!$E:$E,"Credit")</f>
        <v/>
      </c>
      <c r="D5">
        <f>SUMIF(Store_Payments!$B:$B,A5,Store_Payments!$C:$C)</f>
        <v/>
      </c>
      <c r="E5">
        <f>B5+C5-D5</f>
        <v/>
      </c>
    </row>
    <row r="6">
      <c r="A6" t="inlineStr">
        <is>
          <t>Store_04</t>
        </is>
      </c>
      <c r="B6">
        <f>IFERROR(SUMIF(Opening_Balances!$A:$A,A6,Opening_Balances!$B:$B),0)</f>
        <v/>
      </c>
      <c r="C6">
        <f>SUMIFS(Route_Sales!$F:$F,Route_Sales!$C:$C,A6,Route_Sales!$E:$E,"Credit")</f>
        <v/>
      </c>
      <c r="D6">
        <f>SUMIF(Store_Payments!$B:$B,A6,Store_Payments!$C:$C)</f>
        <v/>
      </c>
      <c r="E6">
        <f>B6+C6-D6</f>
        <v/>
      </c>
    </row>
    <row r="7">
      <c r="A7" t="inlineStr">
        <is>
          <t>Store_05</t>
        </is>
      </c>
      <c r="B7">
        <f>IFERROR(SUMIF(Opening_Balances!$A:$A,A7,Opening_Balances!$B:$B),0)</f>
        <v/>
      </c>
      <c r="C7">
        <f>SUMIFS(Route_Sales!$F:$F,Route_Sales!$C:$C,A7,Route_Sales!$E:$E,"Credit")</f>
        <v/>
      </c>
      <c r="D7">
        <f>SUMIF(Store_Payments!$B:$B,A7,Store_Payments!$C:$C)</f>
        <v/>
      </c>
      <c r="E7">
        <f>B7+C7-D7</f>
        <v/>
      </c>
    </row>
    <row r="8">
      <c r="A8" t="inlineStr">
        <is>
          <t>Store_06</t>
        </is>
      </c>
      <c r="B8">
        <f>IFERROR(SUMIF(Opening_Balances!$A:$A,A8,Opening_Balances!$B:$B),0)</f>
        <v/>
      </c>
      <c r="C8">
        <f>SUMIFS(Route_Sales!$F:$F,Route_Sales!$C:$C,A8,Route_Sales!$E:$E,"Credit")</f>
        <v/>
      </c>
      <c r="D8">
        <f>SUMIF(Store_Payments!$B:$B,A8,Store_Payments!$C:$C)</f>
        <v/>
      </c>
      <c r="E8">
        <f>B8+C8-D8</f>
        <v/>
      </c>
    </row>
    <row r="9">
      <c r="A9" t="inlineStr">
        <is>
          <t>Store_07</t>
        </is>
      </c>
      <c r="B9">
        <f>IFERROR(SUMIF(Opening_Balances!$A:$A,A9,Opening_Balances!$B:$B),0)</f>
        <v/>
      </c>
      <c r="C9">
        <f>SUMIFS(Route_Sales!$F:$F,Route_Sales!$C:$C,A9,Route_Sales!$E:$E,"Credit")</f>
        <v/>
      </c>
      <c r="D9">
        <f>SUMIF(Store_Payments!$B:$B,A9,Store_Payments!$C:$C)</f>
        <v/>
      </c>
      <c r="E9">
        <f>B9+C9-D9</f>
        <v/>
      </c>
    </row>
    <row r="10">
      <c r="A10" t="inlineStr">
        <is>
          <t>Store_08</t>
        </is>
      </c>
      <c r="B10">
        <f>IFERROR(SUMIF(Opening_Balances!$A:$A,A10,Opening_Balances!$B:$B),0)</f>
        <v/>
      </c>
      <c r="C10">
        <f>SUMIFS(Route_Sales!$F:$F,Route_Sales!$C:$C,A10,Route_Sales!$E:$E,"Credit")</f>
        <v/>
      </c>
      <c r="D10">
        <f>SUMIF(Store_Payments!$B:$B,A10,Store_Payments!$C:$C)</f>
        <v/>
      </c>
      <c r="E10">
        <f>B10+C10-D10</f>
        <v/>
      </c>
    </row>
    <row r="11">
      <c r="A11" t="inlineStr">
        <is>
          <t>Store_09</t>
        </is>
      </c>
      <c r="B11">
        <f>IFERROR(SUMIF(Opening_Balances!$A:$A,A11,Opening_Balances!$B:$B),0)</f>
        <v/>
      </c>
      <c r="C11">
        <f>SUMIFS(Route_Sales!$F:$F,Route_Sales!$C:$C,A11,Route_Sales!$E:$E,"Credit")</f>
        <v/>
      </c>
      <c r="D11">
        <f>SUMIF(Store_Payments!$B:$B,A11,Store_Payments!$C:$C)</f>
        <v/>
      </c>
      <c r="E11">
        <f>B11+C11-D11</f>
        <v/>
      </c>
    </row>
    <row r="12">
      <c r="A12" t="inlineStr">
        <is>
          <t>Store_10</t>
        </is>
      </c>
      <c r="B12">
        <f>IFERROR(SUMIF(Opening_Balances!$A:$A,A12,Opening_Balances!$B:$B),0)</f>
        <v/>
      </c>
      <c r="C12">
        <f>SUMIFS(Route_Sales!$F:$F,Route_Sales!$C:$C,A12,Route_Sales!$E:$E,"Credit")</f>
        <v/>
      </c>
      <c r="D12">
        <f>SUMIF(Store_Payments!$B:$B,A12,Store_Payments!$C:$C)</f>
        <v/>
      </c>
      <c r="E12">
        <f>B12+C12-D12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8" customWidth="1" min="5" max="5"/>
  </cols>
  <sheetData>
    <row r="1">
      <c r="A1" s="2" t="inlineStr">
        <is>
          <t>Date / วันที่</t>
        </is>
      </c>
      <c r="B1" s="2" t="inlineStr">
        <is>
          <t>Category / หมวด</t>
        </is>
      </c>
      <c r="C1" s="2" t="inlineStr">
        <is>
          <t>Amount (฿) / จำนวนเงิน</t>
        </is>
      </c>
      <c r="D1" s="2" t="inlineStr">
        <is>
          <t>Payment / ช่องทางจ่าย</t>
        </is>
      </c>
      <c r="E1" s="2" t="inlineStr">
        <is>
          <t>Vendor or notes / รายละเอียด</t>
        </is>
      </c>
    </row>
    <row r="2">
      <c r="A2" t="inlineStr">
        <is>
          <t>2026-06-16</t>
        </is>
      </c>
      <c r="B2" t="inlineStr">
        <is>
          <t>Fuel</t>
        </is>
      </c>
      <c r="C2" t="n">
        <v>800</v>
      </c>
      <c r="D2" t="inlineStr">
        <is>
          <t>Cash</t>
        </is>
      </c>
      <c r="E2" t="inlineStr">
        <is>
          <t>Route 01</t>
        </is>
      </c>
    </row>
  </sheetData>
  <dataValidations count="2">
    <dataValidation sqref="B2:B501" showDropDown="0" showInputMessage="0" showErrorMessage="0" allowBlank="1" errorTitle="Invalid value" error="Pick from the list" type="list">
      <formula1>=ExpenseCategories</formula1>
    </dataValidation>
    <dataValidation sqref="D2:D501" showDropDown="0" showInputMessage="0" showErrorMessage="0" allowBlank="1" errorTitle="Invalid value" error="Pick from the list" type="list">
      <formula1>=PaymentMethods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2" t="inlineStr">
        <is>
          <t>Week ending / สิ้นสัปดาห์</t>
        </is>
      </c>
      <c r="B1" s="2" t="inlineStr">
        <is>
          <t>Bags produced / ผลิต</t>
        </is>
      </c>
      <c r="C1" s="2" t="inlineStr">
        <is>
          <t>Bags sold / ขาย</t>
        </is>
      </c>
      <c r="D1" s="2" t="inlineStr">
        <is>
          <t>Variance / ต่าง</t>
        </is>
      </c>
    </row>
    <row r="2">
      <c r="A2" t="inlineStr">
        <is>
          <t>2026-06-15</t>
        </is>
      </c>
      <c r="B2" t="n">
        <v>500</v>
      </c>
      <c r="C2">
        <f>SUMIFS(Route_Sales!$D:$D,Route_Sales!$A:$A,"&gt;="&amp;A2-6,Route_Sales!$A:$A,"&lt;="&amp;A2)</f>
        <v/>
      </c>
      <c r="D2">
        <f>B2-C2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4" t="inlineStr">
        <is>
          <t>Go-live snapshot / ยอดยกมาวันเริ่มใช้</t>
        </is>
      </c>
    </row>
    <row r="3">
      <c r="A3" t="inlineStr">
        <is>
          <t>Cash on hand / เงินสด</t>
        </is>
      </c>
      <c r="B3" t="n">
        <v>0</v>
      </c>
    </row>
    <row r="4">
      <c r="A4" t="inlineStr">
        <is>
          <t>Bank balance / เงินในบัญชี</t>
        </is>
      </c>
      <c r="B4" t="n">
        <v>0</v>
      </c>
    </row>
    <row r="6">
      <c r="A6" s="5" t="inlineStr">
        <is>
          <t>Per-store opening debt / ยอดค้างจ่ายยกมา (รายร้าน)</t>
        </is>
      </c>
    </row>
    <row r="7">
      <c r="A7" s="6" t="inlineStr">
        <is>
          <t>Store / ร้าน</t>
        </is>
      </c>
      <c r="B7" s="6" t="inlineStr">
        <is>
          <t>Opening debt (฿) / ยอดค้าง</t>
        </is>
      </c>
    </row>
    <row r="8">
      <c r="A8" t="inlineStr">
        <is>
          <t>Store_01</t>
        </is>
      </c>
      <c r="B8" t="n">
        <v>0</v>
      </c>
    </row>
    <row r="9">
      <c r="A9" t="inlineStr">
        <is>
          <t>Store_02</t>
        </is>
      </c>
      <c r="B9" t="n">
        <v>0</v>
      </c>
    </row>
    <row r="10">
      <c r="A10" t="inlineStr">
        <is>
          <t>Store_03</t>
        </is>
      </c>
      <c r="B10" t="n">
        <v>0</v>
      </c>
    </row>
    <row r="11">
      <c r="A11" t="inlineStr">
        <is>
          <t>Store_04</t>
        </is>
      </c>
      <c r="B11" t="n">
        <v>0</v>
      </c>
    </row>
    <row r="12">
      <c r="A12" t="inlineStr">
        <is>
          <t>Store_05</t>
        </is>
      </c>
      <c r="B12" t="n">
        <v>0</v>
      </c>
    </row>
    <row r="13">
      <c r="A13" t="inlineStr">
        <is>
          <t>Store_06</t>
        </is>
      </c>
      <c r="B13" t="n">
        <v>0</v>
      </c>
    </row>
    <row r="14">
      <c r="A14" t="inlineStr">
        <is>
          <t>Store_07</t>
        </is>
      </c>
      <c r="B14" t="n">
        <v>0</v>
      </c>
    </row>
    <row r="15">
      <c r="A15" t="inlineStr">
        <is>
          <t>Store_08</t>
        </is>
      </c>
      <c r="B15" t="n">
        <v>0</v>
      </c>
    </row>
    <row r="16">
      <c r="A16" t="inlineStr">
        <is>
          <t>Store_09</t>
        </is>
      </c>
      <c r="B16" t="n">
        <v>0</v>
      </c>
    </row>
    <row r="17">
      <c r="A17" t="inlineStr">
        <is>
          <t>Store_10</t>
        </is>
      </c>
      <c r="B17" t="n">
        <v>0</v>
      </c>
    </row>
  </sheetData>
  <mergeCells count="1">
    <mergeCell ref="A1:B1"/>
  </mergeCells>
  <dataValidations count="1">
    <dataValidation sqref="A8:A107" showDropDown="0" showInputMessage="0" showErrorMessage="0" allowBlank="1" errorTitle="Invalid value" error="Pick from the list" type="list">
      <formula1>=Stores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Monthly summary / สรุปรายเดือน</t>
        </is>
      </c>
    </row>
    <row r="3">
      <c r="A3" t="inlineStr">
        <is>
          <t>Report month (YYYY-MM) / เดือน:</t>
        </is>
      </c>
      <c r="B3" t="inlineStr">
        <is>
          <t>2026-06</t>
        </is>
      </c>
    </row>
    <row r="5">
      <c r="A5" t="inlineStr">
        <is>
          <t>Route cash income / รายได้เงินสด</t>
        </is>
      </c>
      <c r="B5">
        <f>SUMIFS(Route_Sales!$F:$F,Route_Sales!$E:$E,"Cash",Route_Sales!$A:$A,"&gt;="&amp;DATE(LEFT($B$3,4),RIGHT($B$3,2),1),Route_Sales!$A:$A,"&lt;"&amp;EDATE(DATE(LEFT($B$3,4),RIGHT($B$3,2),1),1))</f>
        <v/>
      </c>
    </row>
    <row r="6">
      <c r="A6" t="inlineStr">
        <is>
          <t>Route credit income / รายได้ขายเชื่อ</t>
        </is>
      </c>
      <c r="B6">
        <f>SUMIFS(Route_Sales!$F:$F,Route_Sales!$E:$E,"Credit",Route_Sales!$A:$A,"&gt;="&amp;DATE(LEFT($B$3,4),RIGHT($B$3,2),1),Route_Sales!$A:$A,"&lt;"&amp;EDATE(DATE(LEFT($B$3,4),RIGHT($B$3,2),1),1))</f>
        <v/>
      </c>
    </row>
    <row r="7">
      <c r="A7" t="inlineStr">
        <is>
          <t>Total route income / รายได้รวม</t>
        </is>
      </c>
      <c r="B7">
        <f>B5+B6</f>
        <v/>
      </c>
    </row>
    <row r="8">
      <c r="A8" t="inlineStr">
        <is>
          <t>Total expenses / ค่าใช้จ่ายรวม</t>
        </is>
      </c>
      <c r="B8">
        <f>SUMIFS(Expenses!$C:$C,Expenses!$A:$A,"&gt;="&amp;DATE(LEFT($B$3,4),RIGHT($B$3,2),1),Expenses!$A:$A,"&lt;"&amp;EDATE(DATE(LEFT($B$3,4),RIGHT($B$3,2),1),1))</f>
        <v/>
      </c>
    </row>
    <row r="9">
      <c r="A9" t="inlineStr">
        <is>
          <t>Net (income - expenses) / กำไรสุทธิ</t>
        </is>
      </c>
      <c r="B9">
        <f>B7-B8</f>
        <v/>
      </c>
    </row>
    <row r="11">
      <c r="A11" s="5" t="inlineStr">
        <is>
          <t>Top stores still owed / ร้านค้างจ่ายสูงสุด</t>
        </is>
      </c>
    </row>
    <row r="12">
      <c r="A12" t="inlineStr">
        <is>
          <t>See Store_Balances tab / ดูแท็บ Store_Balances</t>
        </is>
      </c>
    </row>
    <row r="14">
      <c r="A14" s="5" t="inlineStr">
        <is>
          <t>Expense breakdown / ค่าใช้จ่ายตามหมวด</t>
        </is>
      </c>
    </row>
    <row r="15">
      <c r="A15" t="inlineStr">
        <is>
          <t>Water</t>
        </is>
      </c>
      <c r="B15">
        <f>SUMIFS(Expenses!$C:$C,Expenses!$B:$B,"Water",Expenses!$A:$A,"&gt;="&amp;DATE(LEFT($B$3,4),RIGHT($B$3,2),1),Expenses!$A:$A,"&lt;"&amp;EDATE(DATE(LEFT($B$3,4),RIGHT($B$3,2),1),1))</f>
        <v/>
      </c>
    </row>
    <row r="16">
      <c r="A16" t="inlineStr">
        <is>
          <t>Power</t>
        </is>
      </c>
      <c r="B16">
        <f>SUMIFS(Expenses!$C:$C,Expenses!$B:$B,"Power",Expenses!$A:$A,"&gt;="&amp;DATE(LEFT($B$3,4),RIGHT($B$3,2),1),Expenses!$A:$A,"&lt;"&amp;EDATE(DATE(LEFT($B$3,4),RIGHT($B$3,2),1),1))</f>
        <v/>
      </c>
    </row>
    <row r="17">
      <c r="A17" t="inlineStr">
        <is>
          <t>Bags</t>
        </is>
      </c>
      <c r="B17">
        <f>SUMIFS(Expenses!$C:$C,Expenses!$B:$B,"Bags",Expenses!$A:$A,"&gt;="&amp;DATE(LEFT($B$3,4),RIGHT($B$3,2),1),Expenses!$A:$A,"&lt;"&amp;EDATE(DATE(LEFT($B$3,4),RIGHT($B$3,2),1),1))</f>
        <v/>
      </c>
    </row>
    <row r="18">
      <c r="A18" t="inlineStr">
        <is>
          <t>Machine repair</t>
        </is>
      </c>
      <c r="B18">
        <f>SUMIFS(Expenses!$C:$C,Expenses!$B:$B,"Machine repair",Expenses!$A:$A,"&gt;="&amp;DATE(LEFT($B$3,4),RIGHT($B$3,2),1),Expenses!$A:$A,"&lt;"&amp;EDATE(DATE(LEFT($B$3,4),RIGHT($B$3,2),1),1))</f>
        <v/>
      </c>
    </row>
    <row r="19">
      <c r="A19" t="inlineStr">
        <is>
          <t>Fuel</t>
        </is>
      </c>
      <c r="B19">
        <f>SUMIFS(Expenses!$C:$C,Expenses!$B:$B,"Fuel",Expenses!$A:$A,"&gt;="&amp;DATE(LEFT($B$3,4),RIGHT($B$3,2),1),Expenses!$A:$A,"&lt;"&amp;EDATE(DATE(LEFT($B$3,4),RIGHT($B$3,2),1),1))</f>
        <v/>
      </c>
    </row>
    <row r="20">
      <c r="A20" t="inlineStr">
        <is>
          <t>Vehicle repair</t>
        </is>
      </c>
      <c r="B20">
        <f>SUMIFS(Expenses!$C:$C,Expenses!$B:$B,"Vehicle repair",Expenses!$A:$A,"&gt;="&amp;DATE(LEFT($B$3,4),RIGHT($B$3,2),1),Expenses!$A:$A,"&lt;"&amp;EDATE(DATE(LEFT($B$3,4),RIGHT($B$3,2),1),1))</f>
        <v/>
      </c>
    </row>
    <row r="21">
      <c r="A21" t="inlineStr">
        <is>
          <t>Driver pay</t>
        </is>
      </c>
      <c r="B21">
        <f>SUMIFS(Expenses!$C:$C,Expenses!$B:$B,"Driver pay",Expenses!$A:$A,"&gt;="&amp;DATE(LEFT($B$3,4),RIGHT($B$3,2),1),Expenses!$A:$A,"&lt;"&amp;EDATE(DATE(LEFT($B$3,4),RIGHT($B$3,2),1),1))</f>
        <v/>
      </c>
    </row>
    <row r="22">
      <c r="A22" t="inlineStr">
        <is>
          <t>Rent</t>
        </is>
      </c>
      <c r="B22">
        <f>SUMIFS(Expenses!$C:$C,Expenses!$B:$B,"Rent",Expenses!$A:$A,"&gt;="&amp;DATE(LEFT($B$3,4),RIGHT($B$3,2),1),Expenses!$A:$A,"&lt;"&amp;EDATE(DATE(LEFT($B$3,4),RIGHT($B$3,2),1),1))</f>
        <v/>
      </c>
    </row>
    <row r="23">
      <c r="A23" t="inlineStr">
        <is>
          <t>Permits</t>
        </is>
      </c>
      <c r="B23">
        <f>SUMIFS(Expenses!$C:$C,Expenses!$B:$B,"Permits",Expenses!$A:$A,"&gt;="&amp;DATE(LEFT($B$3,4),RIGHT($B$3,2),1),Expenses!$A:$A,"&lt;"&amp;EDATE(DATE(LEFT($B$3,4),RIGHT($B$3,2),1),1))</f>
        <v/>
      </c>
    </row>
    <row r="24">
      <c r="A24" t="inlineStr">
        <is>
          <t>Insurance</t>
        </is>
      </c>
      <c r="B24">
        <f>SUMIFS(Expenses!$C:$C,Expenses!$B:$B,"Insurance",Expenses!$A:$A,"&gt;="&amp;DATE(LEFT($B$3,4),RIGHT($B$3,2),1),Expenses!$A:$A,"&lt;"&amp;EDATE(DATE(LEFT($B$3,4),RIGHT($B$3,2),1),1))</f>
        <v/>
      </c>
    </row>
    <row r="25">
      <c r="A25" t="inlineStr">
        <is>
          <t>Other</t>
        </is>
      </c>
      <c r="B25">
        <f>SUMIFS(Expenses!$C:$C,Expenses!$B:$B,"Other",Expenses!$A:$A,"&gt;="&amp;DATE(LEFT($B$3,4),RIGHT($B$3,2),1),Expenses!$A:$A,"&lt;"&amp;EDATE(DATE(LEFT($B$3,4),RIGHT($B$3,2),1),1))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Cash flow / กระแสเงินสด</t>
        </is>
      </c>
    </row>
    <row r="3">
      <c r="A3" t="inlineStr">
        <is>
          <t>Report month (YYYY-MM):</t>
        </is>
      </c>
      <c r="B3" t="inlineStr">
        <is>
          <t>2026-06</t>
        </is>
      </c>
    </row>
    <row r="5">
      <c r="A5" t="inlineStr">
        <is>
          <t>Opening cash / เงินสดยกมา</t>
        </is>
      </c>
      <c r="B5">
        <f>Opening_Balances!B3</f>
        <v/>
      </c>
    </row>
    <row r="6">
      <c r="A6" t="inlineStr">
        <is>
          <t>Opening bank / เงินธนาคารยกมา</t>
        </is>
      </c>
      <c r="B6">
        <f>Opening_Balances!B4</f>
        <v/>
      </c>
    </row>
    <row r="7">
      <c r="A7" t="inlineStr">
        <is>
          <t>+ Route cash collected / + เงินสดจากเส้นทาง</t>
        </is>
      </c>
      <c r="B7">
        <f>SUMIFS(Route_Sales!$F:$F,Route_Sales!$E:$E,"Cash",Route_Sales!$A:$A,"&gt;="&amp;DATE(LEFT($B$3,4),RIGHT($B$3,2),1),Route_Sales!$A:$A,"&lt;"&amp;EDATE(DATE(LEFT($B$3,4),RIGHT($B$3,2),1),1))</f>
        <v/>
      </c>
    </row>
    <row r="8">
      <c r="A8" t="inlineStr">
        <is>
          <t>+ Store payments (cash) / + รับชำระเงินสด</t>
        </is>
      </c>
      <c r="B8">
        <f>SUMIFS(Store_Payments!$C:$C,Store_Payments!$D:$D,"Cash",Store_Payments!$A:$A,"&gt;="&amp;DATE(LEFT($B$3,4),RIGHT($B$3,2),1),Store_Payments!$A:$A,"&lt;"&amp;EDATE(DATE(LEFT($B$3,4),RIGHT($B$3,2),1),1))</f>
        <v/>
      </c>
    </row>
    <row r="9">
      <c r="A9" t="inlineStr">
        <is>
          <t>+ Store payments (bank) / + รับชำระโอน</t>
        </is>
      </c>
      <c r="B9">
        <f>SUMIFS(Store_Payments!$C:$C,Store_Payments!$D:$D,"Bank",Store_Payments!$A:$A,"&gt;="&amp;DATE(LEFT($B$3,4),RIGHT($B$3,2),1),Store_Payments!$A:$A,"&lt;"&amp;EDATE(DATE(LEFT($B$3,4),RIGHT($B$3,2),1),1))</f>
        <v/>
      </c>
    </row>
    <row r="10">
      <c r="A10" t="inlineStr">
        <is>
          <t>- Cash expenses / - จ่ายเงินสด</t>
        </is>
      </c>
      <c r="B10">
        <f>SUMIFS(Expenses!$C:$C,Expenses!$D:$D,"Cash",Expenses!$A:$A,"&gt;="&amp;DATE(LEFT($B$3,4),RIGHT($B$3,2),1),Expenses!$A:$A,"&lt;"&amp;EDATE(DATE(LEFT($B$3,4),RIGHT($B$3,2),1),1))</f>
        <v/>
      </c>
    </row>
    <row r="11">
      <c r="A11" t="inlineStr">
        <is>
          <t>- Bank expenses / - จ่ายโอน/บัญชี</t>
        </is>
      </c>
      <c r="B11">
        <f>SUMIFS(Expenses!$C:$C,Expenses!$D:$D,"Bank",Expenses!$A:$A,"&gt;="&amp;DATE(LEFT($B$3,4),RIGHT($B$3,2),1),Expenses!$A:$A,"&lt;"&amp;EDATE(DATE(LEFT($B$3,4),RIGHT($B$3,2),1),1))</f>
        <v/>
      </c>
    </row>
    <row r="12">
      <c r="A12" t="inlineStr">
        <is>
          <t>Expected cash on hand / เงินสดคาดว่า</t>
        </is>
      </c>
      <c r="B12">
        <f>B5+B7-B10</f>
        <v/>
      </c>
    </row>
    <row r="13">
      <c r="A13" t="inlineStr">
        <is>
          <t>Expected bank balance / เงินธนาคารคาดว่า</t>
        </is>
      </c>
      <c r="B13">
        <f>B6+B8+B9-B11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2026-06-17T16:53:05Z</dcterms:created>
  <dcterms:modified xsi:type="dcterms:W3CDTF">2026-06-17T16:53:05Z</dcterms:modified>
</cp:coreProperties>
</file>